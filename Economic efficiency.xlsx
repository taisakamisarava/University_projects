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sh1" sheetId="1" r:id="rId1"/>
    <sheet name="ec_ef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2" l="1"/>
  <c r="H8" i="2"/>
  <c r="B8" i="2" l="1"/>
  <c r="B7" i="2"/>
  <c r="C3" i="2" l="1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l="1"/>
  <c r="C16" i="2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D3" i="2"/>
  <c r="D2" i="2"/>
  <c r="B5" i="2"/>
  <c r="B6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4" i="2"/>
  <c r="L6" i="1"/>
  <c r="L11" i="1" s="1"/>
  <c r="L8" i="1"/>
  <c r="L10" i="1"/>
  <c r="L4" i="1"/>
  <c r="J10" i="1"/>
  <c r="J6" i="1"/>
  <c r="J8" i="1"/>
  <c r="J4" i="1"/>
  <c r="J11" i="1" s="1"/>
  <c r="C8" i="1"/>
  <c r="D14" i="2" l="1"/>
  <c r="D15" i="2"/>
  <c r="D7" i="2"/>
  <c r="D19" i="2"/>
  <c r="D10" i="2"/>
  <c r="D6" i="2"/>
  <c r="D18" i="2"/>
  <c r="D17" i="2"/>
  <c r="D13" i="2"/>
  <c r="D9" i="2"/>
  <c r="D5" i="2"/>
  <c r="D16" i="2"/>
  <c r="D12" i="2"/>
  <c r="D8" i="2"/>
  <c r="D4" i="2"/>
  <c r="D11" i="2"/>
  <c r="J12" i="1"/>
  <c r="B17" i="1"/>
  <c r="C2" i="1"/>
  <c r="C7" i="1"/>
  <c r="C6" i="1"/>
  <c r="C16" i="1" s="1"/>
  <c r="D16" i="1" s="1"/>
  <c r="C5" i="1"/>
  <c r="C4" i="1"/>
  <c r="C3" i="1"/>
  <c r="D24" i="2" l="1"/>
  <c r="D20" i="2"/>
  <c r="C30" i="1"/>
  <c r="D30" i="1" s="1"/>
  <c r="C22" i="1"/>
  <c r="D22" i="1" s="1"/>
  <c r="C26" i="1"/>
  <c r="D26" i="1" s="1"/>
  <c r="C14" i="1"/>
  <c r="D14" i="1" s="1"/>
  <c r="D13" i="1" s="1"/>
  <c r="C18" i="1"/>
  <c r="D18" i="1" s="1"/>
  <c r="C27" i="1"/>
  <c r="D27" i="1" s="1"/>
  <c r="C15" i="1"/>
  <c r="D15" i="1" s="1"/>
  <c r="C19" i="1"/>
  <c r="D19" i="1" s="1"/>
  <c r="C23" i="1"/>
  <c r="D23" i="1" s="1"/>
  <c r="C31" i="1"/>
  <c r="D31" i="1" s="1"/>
  <c r="C28" i="1"/>
  <c r="D28" i="1" s="1"/>
  <c r="C20" i="1"/>
  <c r="D20" i="1" s="1"/>
  <c r="C24" i="1"/>
  <c r="D24" i="1" s="1"/>
  <c r="D26" i="2" l="1"/>
  <c r="D25" i="2"/>
  <c r="D21" i="2"/>
  <c r="D21" i="1"/>
  <c r="D17" i="1"/>
  <c r="D25" i="1"/>
  <c r="D29" i="1"/>
  <c r="D23" i="2" l="1"/>
  <c r="D22" i="2"/>
  <c r="D32" i="1"/>
</calcChain>
</file>

<file path=xl/sharedStrings.xml><?xml version="1.0" encoding="utf-8"?>
<sst xmlns="http://schemas.openxmlformats.org/spreadsheetml/2006/main" count="59" uniqueCount="38">
  <si>
    <t>head of information security department</t>
  </si>
  <si>
    <t>Labor payment expences, BYN/month</t>
  </si>
  <si>
    <t>Labor payment expences, BYN/hour</t>
  </si>
  <si>
    <t>head of the development department</t>
  </si>
  <si>
    <t>developer</t>
  </si>
  <si>
    <t>Stage/specialist</t>
  </si>
  <si>
    <t>Concept of the project</t>
  </si>
  <si>
    <t>Project implementation</t>
  </si>
  <si>
    <t xml:space="preserve">Project management and control </t>
  </si>
  <si>
    <t>Launch of the policy into operation</t>
  </si>
  <si>
    <t>Labor payment , BYN/hour</t>
  </si>
  <si>
    <t>Costs for labor payment, BYN</t>
  </si>
  <si>
    <t>Labor hours, hour</t>
  </si>
  <si>
    <t xml:space="preserve">Project implementation planning </t>
  </si>
  <si>
    <t>TOTAL</t>
  </si>
  <si>
    <t>Information Technology  Specialist</t>
  </si>
  <si>
    <t>Business-analyst</t>
  </si>
  <si>
    <t>Developer</t>
  </si>
  <si>
    <t>Specialist position</t>
  </si>
  <si>
    <t>Head of information security department</t>
  </si>
  <si>
    <t>Analyst of the information security department</t>
  </si>
  <si>
    <t>Head of the development department</t>
  </si>
  <si>
    <t>Project Stage /Specialist</t>
  </si>
  <si>
    <t>Pay rate, BYN/hour</t>
  </si>
  <si>
    <t>«AS-IS»</t>
  </si>
  <si>
    <t>«TO-BE»</t>
  </si>
  <si>
    <t>Software Specialist</t>
  </si>
  <si>
    <t>Threat detection</t>
  </si>
  <si>
    <t>Control process management, distribution of tasks between employees</t>
  </si>
  <si>
    <t>Raw data analysis for organization security improvement</t>
  </si>
  <si>
    <t>Cash flow</t>
  </si>
  <si>
    <t>disc rate</t>
  </si>
  <si>
    <t>Period, month</t>
  </si>
  <si>
    <t>Income</t>
  </si>
  <si>
    <t>Costs</t>
  </si>
  <si>
    <t>NPV</t>
  </si>
  <si>
    <t>IRR</t>
  </si>
  <si>
    <t>DPP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</si>
</sst>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#,##0.00\ &quot;Br&quot;;[Red]\-#,##0.00\ &quot;Br&quot;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  <charset val="204"/>
    </font>
    <font>
      <sz val="10"/>
      <color rgb="FF000000"/>
      <name val="Arial"/>
      <family val="2"/>
      <charset val="204"/>
    </font>
    <font>
      <b/>
      <sz val="10"/>
      <color rgb="FF000000"/>
      <name val="Times New Roman"/>
      <family val="1"/>
      <charset val="204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2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justify" vertical="center" wrapText="1"/>
    </xf>
    <xf numFmtId="0" fontId="5" fillId="0" borderId="0" xfId="0" applyFont="1"/>
    <xf numFmtId="2" fontId="3" fillId="0" borderId="2" xfId="0" applyNumberFormat="1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justify" vertical="center" wrapText="1"/>
    </xf>
    <xf numFmtId="2" fontId="3" fillId="0" borderId="3" xfId="0" applyNumberFormat="1" applyFont="1" applyBorder="1" applyAlignment="1">
      <alignment horizontal="justify" vertical="center" wrapText="1"/>
    </xf>
    <xf numFmtId="2" fontId="4" fillId="0" borderId="3" xfId="0" applyNumberFormat="1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6" fillId="0" borderId="2" xfId="0" applyFont="1" applyBorder="1" applyAlignment="1">
      <alignment horizontal="justify" vertical="center" wrapText="1"/>
    </xf>
    <xf numFmtId="0" fontId="6" fillId="0" borderId="6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justify" vertical="center" wrapText="1"/>
    </xf>
    <xf numFmtId="0" fontId="6" fillId="0" borderId="0" xfId="0" applyFont="1"/>
    <xf numFmtId="0" fontId="6" fillId="0" borderId="1" xfId="0" applyFont="1" applyBorder="1" applyAlignment="1">
      <alignment horizontal="justify" vertical="center" wrapText="1"/>
    </xf>
    <xf numFmtId="0" fontId="7" fillId="0" borderId="0" xfId="0" applyFont="1"/>
    <xf numFmtId="0" fontId="3" fillId="0" borderId="8" xfId="0" applyFont="1" applyFill="1" applyBorder="1" applyAlignment="1">
      <alignment horizontal="justify" vertical="center" wrapText="1"/>
    </xf>
    <xf numFmtId="2" fontId="3" fillId="0" borderId="8" xfId="0" applyNumberFormat="1" applyFont="1" applyFill="1" applyBorder="1" applyAlignment="1">
      <alignment horizontal="justify" vertical="center" wrapText="1"/>
    </xf>
    <xf numFmtId="0" fontId="8" fillId="0" borderId="2" xfId="0" applyFont="1" applyBorder="1" applyAlignment="1">
      <alignment horizontal="justify" vertical="center" wrapText="1"/>
    </xf>
    <xf numFmtId="0" fontId="2" fillId="0" borderId="0" xfId="0" applyFont="1"/>
    <xf numFmtId="9" fontId="0" fillId="0" borderId="0" xfId="0" applyNumberFormat="1"/>
    <xf numFmtId="8" fontId="0" fillId="0" borderId="0" xfId="0" applyNumberFormat="1"/>
    <xf numFmtId="2" fontId="0" fillId="0" borderId="0" xfId="0" applyNumberFormat="1"/>
    <xf numFmtId="2" fontId="0" fillId="2" borderId="0" xfId="0" applyNumberFormat="1" applyFill="1"/>
    <xf numFmtId="2" fontId="0" fillId="0" borderId="0" xfId="0" applyNumberFormat="1" applyFill="1"/>
    <xf numFmtId="0" fontId="2" fillId="2" borderId="0" xfId="0" applyFont="1" applyFill="1"/>
    <xf numFmtId="0" fontId="2" fillId="0" borderId="0" xfId="0" applyFont="1" applyFill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2" fillId="0" borderId="0" xfId="0" applyNumberFormat="1" applyFont="1"/>
    <xf numFmtId="2" fontId="2" fillId="0" borderId="0" xfId="0" applyNumberFormat="1" applyFont="1" applyFill="1"/>
    <xf numFmtId="10" fontId="0" fillId="0" borderId="0" xfId="0" applyNumberFormat="1"/>
    <xf numFmtId="9" fontId="9" fillId="0" borderId="0" xfId="0" applyNumberFormat="1" applyFont="1"/>
    <xf numFmtId="0" fontId="0" fillId="2" borderId="0" xfId="0" applyFill="1"/>
    <xf numFmtId="0" fontId="4" fillId="0" borderId="4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justify" vertical="center" wrapText="1"/>
    </xf>
    <xf numFmtId="0" fontId="8" fillId="0" borderId="4" xfId="0" applyFont="1" applyBorder="1" applyAlignment="1">
      <alignment horizontal="justify" vertical="center" wrapText="1"/>
    </xf>
    <xf numFmtId="0" fontId="8" fillId="0" borderId="2" xfId="0" applyFont="1" applyBorder="1" applyAlignment="1">
      <alignment horizontal="justify" vertical="center" wrapText="1"/>
    </xf>
    <xf numFmtId="0" fontId="4" fillId="0" borderId="7" xfId="0" applyFont="1" applyBorder="1" applyAlignment="1">
      <alignment horizontal="justify" vertical="center" wrapText="1"/>
    </xf>
    <xf numFmtId="0" fontId="4" fillId="0" borderId="5" xfId="0" applyFont="1" applyBorder="1" applyAlignment="1">
      <alignment horizontal="justify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opLeftCell="A16" workbookViewId="0">
      <selection activeCell="G25" sqref="G25"/>
    </sheetView>
  </sheetViews>
  <sheetFormatPr defaultRowHeight="14.4" x14ac:dyDescent="0.3"/>
  <cols>
    <col min="1" max="1" width="26.5546875" customWidth="1"/>
    <col min="2" max="2" width="20.21875" customWidth="1"/>
    <col min="3" max="3" width="18.21875" customWidth="1"/>
    <col min="4" max="4" width="16.5546875" customWidth="1"/>
    <col min="7" max="7" width="28.109375" bestFit="1" customWidth="1"/>
    <col min="8" max="8" width="10.44140625" bestFit="1" customWidth="1"/>
    <col min="9" max="10" width="11.44140625" bestFit="1" customWidth="1"/>
    <col min="12" max="12" width="11.44140625" bestFit="1" customWidth="1"/>
  </cols>
  <sheetData>
    <row r="1" spans="1:12" ht="35.4" customHeight="1" thickBot="1" x14ac:dyDescent="0.35">
      <c r="A1" s="5" t="s">
        <v>18</v>
      </c>
      <c r="B1" s="2" t="s">
        <v>1</v>
      </c>
      <c r="C1" s="2" t="s">
        <v>2</v>
      </c>
      <c r="G1" s="34" t="s">
        <v>22</v>
      </c>
      <c r="H1" s="36" t="s">
        <v>23</v>
      </c>
      <c r="I1" s="38" t="s">
        <v>24</v>
      </c>
      <c r="J1" s="39"/>
      <c r="K1" s="38" t="s">
        <v>25</v>
      </c>
      <c r="L1" s="39"/>
    </row>
    <row r="2" spans="1:12" ht="25.8" customHeight="1" thickBot="1" x14ac:dyDescent="0.35">
      <c r="A2" s="1" t="s">
        <v>19</v>
      </c>
      <c r="B2" s="1">
        <v>4810</v>
      </c>
      <c r="C2" s="4">
        <f t="shared" ref="C2:C8" si="0">B2/21/8</f>
        <v>28.63095238095238</v>
      </c>
      <c r="G2" s="35"/>
      <c r="H2" s="37"/>
      <c r="I2" s="6" t="s">
        <v>12</v>
      </c>
      <c r="J2" s="2" t="s">
        <v>1</v>
      </c>
      <c r="K2" s="6" t="s">
        <v>12</v>
      </c>
      <c r="L2" s="2" t="s">
        <v>1</v>
      </c>
    </row>
    <row r="3" spans="1:12" ht="40.200000000000003" thickBot="1" x14ac:dyDescent="0.35">
      <c r="A3" s="1" t="s">
        <v>20</v>
      </c>
      <c r="B3" s="1">
        <v>3970</v>
      </c>
      <c r="C3" s="4">
        <f t="shared" si="0"/>
        <v>23.63095238095238</v>
      </c>
      <c r="G3" s="2" t="s">
        <v>28</v>
      </c>
      <c r="H3" s="12"/>
      <c r="I3" s="12"/>
      <c r="J3" s="12"/>
      <c r="K3" s="12"/>
      <c r="L3" s="12"/>
    </row>
    <row r="4" spans="1:12" ht="79.8" customHeight="1" thickBot="1" x14ac:dyDescent="0.35">
      <c r="A4" s="1" t="s">
        <v>15</v>
      </c>
      <c r="B4" s="1">
        <v>3770</v>
      </c>
      <c r="C4" s="4">
        <f t="shared" si="0"/>
        <v>22.44047619047619</v>
      </c>
      <c r="G4" s="10" t="s">
        <v>0</v>
      </c>
      <c r="H4" s="11">
        <v>28.63</v>
      </c>
      <c r="I4" s="12">
        <v>18</v>
      </c>
      <c r="J4" s="12">
        <f>H4*I4</f>
        <v>515.34</v>
      </c>
      <c r="K4" s="12">
        <v>2</v>
      </c>
      <c r="L4" s="12">
        <f>H4*K4</f>
        <v>57.26</v>
      </c>
    </row>
    <row r="5" spans="1:12" ht="93" customHeight="1" thickBot="1" x14ac:dyDescent="0.35">
      <c r="A5" s="1" t="s">
        <v>21</v>
      </c>
      <c r="B5" s="1">
        <v>4240</v>
      </c>
      <c r="C5" s="4">
        <f t="shared" si="0"/>
        <v>25.238095238095237</v>
      </c>
      <c r="G5" s="18" t="s">
        <v>29</v>
      </c>
      <c r="H5" s="11"/>
      <c r="I5" s="12"/>
      <c r="J5" s="12"/>
      <c r="K5" s="12"/>
      <c r="L5" s="12"/>
    </row>
    <row r="6" spans="1:12" ht="40.200000000000003" thickBot="1" x14ac:dyDescent="0.35">
      <c r="A6" s="1" t="s">
        <v>16</v>
      </c>
      <c r="B6" s="1">
        <v>3300</v>
      </c>
      <c r="C6" s="4">
        <f t="shared" si="0"/>
        <v>19.642857142857142</v>
      </c>
      <c r="G6" s="10" t="s">
        <v>20</v>
      </c>
      <c r="H6" s="11">
        <v>23.63</v>
      </c>
      <c r="I6" s="12">
        <v>38</v>
      </c>
      <c r="J6" s="12">
        <f>H6*I6</f>
        <v>897.93999999999994</v>
      </c>
      <c r="K6" s="12">
        <v>8</v>
      </c>
      <c r="L6" s="12">
        <f>H6*K6</f>
        <v>189.04</v>
      </c>
    </row>
    <row r="7" spans="1:12" ht="15" thickBot="1" x14ac:dyDescent="0.35">
      <c r="A7" s="1" t="s">
        <v>17</v>
      </c>
      <c r="B7" s="1">
        <v>3000</v>
      </c>
      <c r="C7" s="4">
        <f t="shared" si="0"/>
        <v>17.857142857142858</v>
      </c>
      <c r="G7" s="2" t="s">
        <v>27</v>
      </c>
      <c r="H7" s="12"/>
      <c r="I7" s="12"/>
      <c r="J7" s="12"/>
      <c r="K7" s="12"/>
      <c r="L7" s="12"/>
    </row>
    <row r="8" spans="1:12" ht="15" thickBot="1" x14ac:dyDescent="0.35">
      <c r="A8" s="15" t="s">
        <v>26</v>
      </c>
      <c r="B8" s="16">
        <v>2830</v>
      </c>
      <c r="C8" s="17">
        <f t="shared" si="0"/>
        <v>16.845238095238095</v>
      </c>
      <c r="G8" s="13" t="s">
        <v>15</v>
      </c>
      <c r="H8" s="14">
        <v>22.44</v>
      </c>
      <c r="I8" s="12">
        <v>159</v>
      </c>
      <c r="J8" s="12">
        <f>H8*I8</f>
        <v>3567.96</v>
      </c>
      <c r="K8" s="12">
        <v>7</v>
      </c>
      <c r="L8" s="12">
        <f>H8*K8</f>
        <v>157.08000000000001</v>
      </c>
    </row>
    <row r="9" spans="1:12" ht="15" thickBot="1" x14ac:dyDescent="0.35">
      <c r="G9" s="2" t="s">
        <v>27</v>
      </c>
      <c r="H9" s="12"/>
      <c r="I9" s="12"/>
      <c r="J9" s="12"/>
      <c r="K9" s="12"/>
      <c r="L9" s="12"/>
    </row>
    <row r="10" spans="1:12" ht="15" thickBot="1" x14ac:dyDescent="0.35">
      <c r="G10" s="15" t="s">
        <v>26</v>
      </c>
      <c r="H10" s="12">
        <v>16.845238095238095</v>
      </c>
      <c r="I10" s="12">
        <v>160</v>
      </c>
      <c r="J10" s="12">
        <f>H10*I10</f>
        <v>2695.2380952380954</v>
      </c>
      <c r="K10" s="12">
        <v>7</v>
      </c>
      <c r="L10" s="12">
        <f>H10*K10</f>
        <v>117.91666666666666</v>
      </c>
    </row>
    <row r="11" spans="1:12" ht="15" thickBot="1" x14ac:dyDescent="0.35">
      <c r="G11" s="8" t="s">
        <v>14</v>
      </c>
      <c r="H11" s="12"/>
      <c r="J11" s="12">
        <f>SUM(J4:J10)</f>
        <v>7676.4780952380952</v>
      </c>
      <c r="K11" s="12"/>
      <c r="L11" s="12">
        <f>SUM(L4:L10)</f>
        <v>521.29666666666662</v>
      </c>
    </row>
    <row r="12" spans="1:12" s="3" customFormat="1" ht="27" thickBot="1" x14ac:dyDescent="0.35">
      <c r="A12" s="6" t="s">
        <v>5</v>
      </c>
      <c r="B12" s="6" t="s">
        <v>12</v>
      </c>
      <c r="C12" s="6" t="s">
        <v>10</v>
      </c>
      <c r="D12" s="6" t="s">
        <v>11</v>
      </c>
      <c r="G12" s="1"/>
      <c r="H12" s="12"/>
      <c r="I12" s="12"/>
      <c r="J12" s="12">
        <f>J11-L11</f>
        <v>7155.1814285714281</v>
      </c>
      <c r="K12" s="12"/>
      <c r="L12" s="12"/>
    </row>
    <row r="13" spans="1:12" s="3" customFormat="1" ht="15" thickBot="1" x14ac:dyDescent="0.35">
      <c r="A13" s="6" t="s">
        <v>6</v>
      </c>
      <c r="B13" s="6">
        <v>216</v>
      </c>
      <c r="C13" s="7"/>
      <c r="D13" s="8">
        <f>SUM(D14:D16)</f>
        <v>5482.8571428571431</v>
      </c>
      <c r="G13" s="1"/>
      <c r="H13" s="12"/>
      <c r="I13" s="12"/>
      <c r="J13" s="12"/>
      <c r="K13" s="12"/>
      <c r="L13" s="12"/>
    </row>
    <row r="14" spans="1:12" ht="26.4" x14ac:dyDescent="0.3">
      <c r="A14" s="9" t="s">
        <v>0</v>
      </c>
      <c r="B14" s="9">
        <v>128</v>
      </c>
      <c r="C14" s="7">
        <f>C2</f>
        <v>28.63095238095238</v>
      </c>
      <c r="D14" s="7">
        <f>B14*C14</f>
        <v>3664.7619047619046</v>
      </c>
    </row>
    <row r="15" spans="1:12" ht="26.4" x14ac:dyDescent="0.3">
      <c r="A15" s="9" t="s">
        <v>3</v>
      </c>
      <c r="B15" s="9">
        <v>16</v>
      </c>
      <c r="C15" s="7">
        <f>C5</f>
        <v>25.238095238095237</v>
      </c>
      <c r="D15" s="7">
        <f>B15*C15</f>
        <v>403.8095238095238</v>
      </c>
    </row>
    <row r="16" spans="1:12" x14ac:dyDescent="0.3">
      <c r="A16" s="9" t="s">
        <v>16</v>
      </c>
      <c r="B16" s="9">
        <v>72</v>
      </c>
      <c r="C16" s="7">
        <f>C6</f>
        <v>19.642857142857142</v>
      </c>
      <c r="D16" s="7">
        <f>B16*C16</f>
        <v>1414.2857142857142</v>
      </c>
    </row>
    <row r="17" spans="1:4" s="3" customFormat="1" ht="26.4" x14ac:dyDescent="0.3">
      <c r="A17" s="6" t="s">
        <v>13</v>
      </c>
      <c r="B17" s="6">
        <f>SUM(SUM(B18:B20))</f>
        <v>184</v>
      </c>
      <c r="C17" s="7"/>
      <c r="D17" s="8">
        <f>SUM(D18:D20)</f>
        <v>4556.1904761904761</v>
      </c>
    </row>
    <row r="18" spans="1:4" ht="26.4" x14ac:dyDescent="0.3">
      <c r="A18" s="9" t="s">
        <v>0</v>
      </c>
      <c r="B18" s="9">
        <v>96</v>
      </c>
      <c r="C18" s="7">
        <f>C2</f>
        <v>28.63095238095238</v>
      </c>
      <c r="D18" s="7">
        <f>B18*C18</f>
        <v>2748.5714285714284</v>
      </c>
    </row>
    <row r="19" spans="1:4" ht="26.4" x14ac:dyDescent="0.3">
      <c r="A19" s="9" t="s">
        <v>3</v>
      </c>
      <c r="B19" s="9">
        <v>32</v>
      </c>
      <c r="C19" s="7">
        <f>C5</f>
        <v>25.238095238095237</v>
      </c>
      <c r="D19" s="7">
        <f>B19*C19</f>
        <v>807.61904761904759</v>
      </c>
    </row>
    <row r="20" spans="1:4" x14ac:dyDescent="0.3">
      <c r="A20" s="9" t="s">
        <v>4</v>
      </c>
      <c r="B20" s="9">
        <v>56</v>
      </c>
      <c r="C20" s="7">
        <f>C7</f>
        <v>17.857142857142858</v>
      </c>
      <c r="D20" s="7">
        <f>B20*C20</f>
        <v>1000</v>
      </c>
    </row>
    <row r="21" spans="1:4" s="3" customFormat="1" x14ac:dyDescent="0.3">
      <c r="A21" s="6" t="s">
        <v>7</v>
      </c>
      <c r="B21" s="6">
        <v>176</v>
      </c>
      <c r="C21" s="7"/>
      <c r="D21" s="8">
        <f>SUM(D22:D24)</f>
        <v>3519.5238095238092</v>
      </c>
    </row>
    <row r="22" spans="1:4" ht="26.4" x14ac:dyDescent="0.3">
      <c r="A22" s="9" t="s">
        <v>0</v>
      </c>
      <c r="B22" s="9">
        <v>24</v>
      </c>
      <c r="C22" s="7">
        <f>C2</f>
        <v>28.63095238095238</v>
      </c>
      <c r="D22" s="7">
        <f>B22*C22</f>
        <v>687.14285714285711</v>
      </c>
    </row>
    <row r="23" spans="1:4" ht="26.4" x14ac:dyDescent="0.3">
      <c r="A23" s="9" t="s">
        <v>3</v>
      </c>
      <c r="B23" s="9">
        <v>16</v>
      </c>
      <c r="C23" s="7">
        <f>C5</f>
        <v>25.238095238095237</v>
      </c>
      <c r="D23" s="7">
        <f>B23*C23</f>
        <v>403.8095238095238</v>
      </c>
    </row>
    <row r="24" spans="1:4" x14ac:dyDescent="0.3">
      <c r="A24" s="9" t="s">
        <v>4</v>
      </c>
      <c r="B24" s="9">
        <v>136</v>
      </c>
      <c r="C24" s="7">
        <f>C7</f>
        <v>17.857142857142858</v>
      </c>
      <c r="D24" s="7">
        <f>B24*C24</f>
        <v>2428.5714285714284</v>
      </c>
    </row>
    <row r="25" spans="1:4" s="3" customFormat="1" ht="26.4" x14ac:dyDescent="0.3">
      <c r="A25" s="6" t="s">
        <v>8</v>
      </c>
      <c r="B25" s="6">
        <v>176</v>
      </c>
      <c r="C25" s="7"/>
      <c r="D25" s="8">
        <f>SUM(D26:D28)</f>
        <v>4223.333333333333</v>
      </c>
    </row>
    <row r="26" spans="1:4" ht="26.4" x14ac:dyDescent="0.3">
      <c r="A26" s="9" t="s">
        <v>0</v>
      </c>
      <c r="B26" s="9">
        <v>40</v>
      </c>
      <c r="C26" s="7">
        <f>C2</f>
        <v>28.63095238095238</v>
      </c>
      <c r="D26" s="7">
        <f>B26*C26</f>
        <v>1145.2380952380952</v>
      </c>
    </row>
    <row r="27" spans="1:4" ht="26.4" x14ac:dyDescent="0.3">
      <c r="A27" s="9" t="s">
        <v>3</v>
      </c>
      <c r="B27" s="9">
        <v>88</v>
      </c>
      <c r="C27" s="7">
        <f>C5</f>
        <v>25.238095238095237</v>
      </c>
      <c r="D27" s="7">
        <f>B27*C27</f>
        <v>2220.9523809523807</v>
      </c>
    </row>
    <row r="28" spans="1:4" x14ac:dyDescent="0.3">
      <c r="A28" s="9" t="s">
        <v>17</v>
      </c>
      <c r="B28" s="9">
        <v>48</v>
      </c>
      <c r="C28" s="7">
        <f>C7</f>
        <v>17.857142857142858</v>
      </c>
      <c r="D28" s="7">
        <f>B28*C28</f>
        <v>857.14285714285711</v>
      </c>
    </row>
    <row r="29" spans="1:4" s="3" customFormat="1" ht="26.4" x14ac:dyDescent="0.3">
      <c r="A29" s="6" t="s">
        <v>9</v>
      </c>
      <c r="B29" s="6">
        <v>32</v>
      </c>
      <c r="C29" s="7"/>
      <c r="D29" s="8">
        <f>SUM(D30:D31)</f>
        <v>743.80952380952385</v>
      </c>
    </row>
    <row r="30" spans="1:4" ht="26.4" x14ac:dyDescent="0.3">
      <c r="A30" s="9" t="s">
        <v>0</v>
      </c>
      <c r="B30" s="9">
        <v>16</v>
      </c>
      <c r="C30" s="7">
        <f>C2</f>
        <v>28.63095238095238</v>
      </c>
      <c r="D30" s="7">
        <f>B30*C30</f>
        <v>458.09523809523807</v>
      </c>
    </row>
    <row r="31" spans="1:4" x14ac:dyDescent="0.3">
      <c r="A31" s="9" t="s">
        <v>17</v>
      </c>
      <c r="B31" s="9">
        <v>16</v>
      </c>
      <c r="C31" s="7">
        <f>C7</f>
        <v>17.857142857142858</v>
      </c>
      <c r="D31" s="7">
        <f>B31*C31</f>
        <v>285.71428571428572</v>
      </c>
    </row>
    <row r="32" spans="1:4" x14ac:dyDescent="0.3">
      <c r="A32" s="9"/>
      <c r="B32" s="9"/>
      <c r="C32" s="8" t="s">
        <v>14</v>
      </c>
      <c r="D32" s="8">
        <f>D29+D25+D21+D17+D13</f>
        <v>18525.714285714283</v>
      </c>
    </row>
  </sheetData>
  <mergeCells count="4">
    <mergeCell ref="G1:G2"/>
    <mergeCell ref="H1:H2"/>
    <mergeCell ref="I1:J1"/>
    <mergeCell ref="K1:L1"/>
  </mergeCells>
  <pageMargins left="0.7" right="0.7" top="0.75" bottom="0.75" header="0.3" footer="0.3"/>
  <pageSetup paperSize="9" orientation="portrait" r:id="rId1"/>
  <ignoredErrors>
    <ignoredError sqref="B17" formulaRange="1"/>
    <ignoredError sqref="D17 D21 D25 D2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activeCell="F5" sqref="F5"/>
    </sheetView>
  </sheetViews>
  <sheetFormatPr defaultRowHeight="14.4" x14ac:dyDescent="0.3"/>
  <cols>
    <col min="1" max="1" width="10.6640625" customWidth="1"/>
    <col min="2" max="2" width="10.88671875" customWidth="1"/>
    <col min="3" max="3" width="11.77734375" customWidth="1"/>
    <col min="4" max="4" width="9.77734375" customWidth="1"/>
    <col min="8" max="8" width="14.44140625" customWidth="1"/>
  </cols>
  <sheetData>
    <row r="1" spans="1:8" ht="28.8" x14ac:dyDescent="0.3">
      <c r="A1" s="27" t="s">
        <v>32</v>
      </c>
      <c r="B1" s="28" t="s">
        <v>33</v>
      </c>
      <c r="C1" s="28" t="s">
        <v>34</v>
      </c>
      <c r="D1" s="28" t="s">
        <v>30</v>
      </c>
      <c r="E1" s="28" t="s">
        <v>31</v>
      </c>
    </row>
    <row r="2" spans="1:8" x14ac:dyDescent="0.3">
      <c r="A2" s="19">
        <v>0</v>
      </c>
      <c r="B2" s="29">
        <v>0</v>
      </c>
      <c r="C2" s="22">
        <v>34922.239999999998</v>
      </c>
      <c r="D2" s="22">
        <f>B2-C2</f>
        <v>-34922.239999999998</v>
      </c>
      <c r="E2" s="32">
        <v>0.18</v>
      </c>
      <c r="F2" s="20"/>
    </row>
    <row r="3" spans="1:8" x14ac:dyDescent="0.3">
      <c r="A3" s="19">
        <v>1</v>
      </c>
      <c r="B3" s="29">
        <v>7155.1814285714299</v>
      </c>
      <c r="C3" s="22">
        <f>C2</f>
        <v>34922.239999999998</v>
      </c>
      <c r="D3" s="22">
        <f t="shared" ref="D3:D26" si="0">B3-C3</f>
        <v>-27767.05857142857</v>
      </c>
    </row>
    <row r="4" spans="1:8" x14ac:dyDescent="0.3">
      <c r="A4" s="19">
        <v>2</v>
      </c>
      <c r="B4" s="29">
        <f>B3+7155.18142857143</f>
        <v>14310.36285714286</v>
      </c>
      <c r="C4" s="22">
        <f t="shared" ref="C4:C26" si="1">C3</f>
        <v>34922.239999999998</v>
      </c>
      <c r="D4" s="22">
        <f t="shared" si="0"/>
        <v>-20611.877142857138</v>
      </c>
      <c r="E4" s="3"/>
      <c r="F4" s="3"/>
    </row>
    <row r="5" spans="1:8" x14ac:dyDescent="0.3">
      <c r="A5" s="19">
        <v>3</v>
      </c>
      <c r="B5" s="29">
        <f t="shared" ref="B5:B19" si="2">B4+7155</f>
        <v>21465.36285714286</v>
      </c>
      <c r="C5" s="22">
        <f t="shared" si="1"/>
        <v>34922.239999999998</v>
      </c>
      <c r="D5" s="22">
        <f t="shared" si="0"/>
        <v>-13456.877142857138</v>
      </c>
    </row>
    <row r="6" spans="1:8" x14ac:dyDescent="0.3">
      <c r="A6" s="19">
        <v>4</v>
      </c>
      <c r="B6" s="29">
        <f t="shared" si="2"/>
        <v>28620.36285714286</v>
      </c>
      <c r="C6" s="22">
        <f t="shared" si="1"/>
        <v>34922.239999999998</v>
      </c>
      <c r="D6" s="22">
        <f t="shared" si="0"/>
        <v>-6301.8771428571381</v>
      </c>
    </row>
    <row r="7" spans="1:8" x14ac:dyDescent="0.3">
      <c r="A7" s="19">
        <v>5</v>
      </c>
      <c r="B7" s="29">
        <f>B6+7155</f>
        <v>35775.362857142856</v>
      </c>
      <c r="C7" s="22">
        <f t="shared" si="1"/>
        <v>34922.239999999998</v>
      </c>
      <c r="D7" s="22">
        <f>B7-C7</f>
        <v>853.12285714285827</v>
      </c>
      <c r="G7" s="33" t="s">
        <v>35</v>
      </c>
      <c r="H7" s="21">
        <f>NPV(E2,D2,D3:D26)</f>
        <v>7542.914260615592</v>
      </c>
    </row>
    <row r="8" spans="1:8" x14ac:dyDescent="0.3">
      <c r="A8" s="19">
        <v>6</v>
      </c>
      <c r="B8" s="29">
        <f>B7+7155.18</f>
        <v>42930.542857142857</v>
      </c>
      <c r="C8" s="22">
        <f t="shared" si="1"/>
        <v>34922.239999999998</v>
      </c>
      <c r="D8" s="22">
        <f t="shared" si="0"/>
        <v>8008.3028571428586</v>
      </c>
      <c r="E8" s="3"/>
      <c r="F8" s="3"/>
      <c r="G8" s="33" t="s">
        <v>36</v>
      </c>
      <c r="H8" s="31">
        <f>IRR(D2:D26)</f>
        <v>0.18928725076458108</v>
      </c>
    </row>
    <row r="9" spans="1:8" x14ac:dyDescent="0.3">
      <c r="A9" s="19">
        <v>7</v>
      </c>
      <c r="B9" s="29">
        <f t="shared" si="2"/>
        <v>50085.542857142857</v>
      </c>
      <c r="C9" s="22">
        <f t="shared" si="1"/>
        <v>34922.239999999998</v>
      </c>
      <c r="D9" s="22">
        <f t="shared" si="0"/>
        <v>15163.302857142859</v>
      </c>
      <c r="G9" s="33" t="s">
        <v>37</v>
      </c>
      <c r="H9">
        <v>13</v>
      </c>
    </row>
    <row r="10" spans="1:8" x14ac:dyDescent="0.3">
      <c r="A10" s="19">
        <v>8</v>
      </c>
      <c r="B10" s="29">
        <f t="shared" si="2"/>
        <v>57240.542857142857</v>
      </c>
      <c r="C10" s="22">
        <f t="shared" si="1"/>
        <v>34922.239999999998</v>
      </c>
      <c r="D10" s="22">
        <f t="shared" si="0"/>
        <v>22318.302857142859</v>
      </c>
      <c r="H10" s="20"/>
    </row>
    <row r="11" spans="1:8" x14ac:dyDescent="0.3">
      <c r="A11" s="19">
        <v>9</v>
      </c>
      <c r="B11" s="29">
        <f t="shared" si="2"/>
        <v>64395.542857142857</v>
      </c>
      <c r="C11" s="22">
        <f t="shared" si="1"/>
        <v>34922.239999999998</v>
      </c>
      <c r="D11" s="22">
        <f t="shared" si="0"/>
        <v>29473.302857142859</v>
      </c>
    </row>
    <row r="12" spans="1:8" x14ac:dyDescent="0.3">
      <c r="A12" s="19">
        <v>10</v>
      </c>
      <c r="B12" s="29">
        <f t="shared" si="2"/>
        <v>71550.542857142864</v>
      </c>
      <c r="C12" s="22">
        <f t="shared" si="1"/>
        <v>34922.239999999998</v>
      </c>
      <c r="D12" s="22">
        <f t="shared" si="0"/>
        <v>36628.302857142866</v>
      </c>
      <c r="E12" s="3"/>
      <c r="F12" s="3"/>
    </row>
    <row r="13" spans="1:8" x14ac:dyDescent="0.3">
      <c r="A13" s="19">
        <v>11</v>
      </c>
      <c r="B13" s="29">
        <f t="shared" si="2"/>
        <v>78705.542857142864</v>
      </c>
      <c r="C13" s="22">
        <f t="shared" si="1"/>
        <v>34922.239999999998</v>
      </c>
      <c r="D13" s="22">
        <f t="shared" si="0"/>
        <v>43783.302857142866</v>
      </c>
    </row>
    <row r="14" spans="1:8" x14ac:dyDescent="0.3">
      <c r="A14" s="19">
        <v>12</v>
      </c>
      <c r="B14" s="29">
        <f t="shared" si="2"/>
        <v>85860.542857142864</v>
      </c>
      <c r="C14" s="22">
        <f t="shared" si="1"/>
        <v>34922.239999999998</v>
      </c>
      <c r="D14" s="22">
        <f>B14-C14</f>
        <v>50938.302857142866</v>
      </c>
    </row>
    <row r="15" spans="1:8" x14ac:dyDescent="0.3">
      <c r="A15" s="26">
        <v>13</v>
      </c>
      <c r="B15" s="29">
        <f t="shared" si="2"/>
        <v>93015.542857142864</v>
      </c>
      <c r="C15" s="22">
        <f>C14+5372.65</f>
        <v>40294.89</v>
      </c>
      <c r="D15" s="24">
        <f>B15-C15</f>
        <v>52720.652857142864</v>
      </c>
    </row>
    <row r="16" spans="1:8" x14ac:dyDescent="0.3">
      <c r="A16" s="19">
        <v>14</v>
      </c>
      <c r="B16" s="29">
        <f t="shared" si="2"/>
        <v>100170.54285714286</v>
      </c>
      <c r="C16" s="22">
        <f t="shared" si="1"/>
        <v>40294.89</v>
      </c>
      <c r="D16" s="22">
        <f t="shared" si="0"/>
        <v>59875.652857142864</v>
      </c>
      <c r="E16" s="3"/>
      <c r="F16" s="3"/>
    </row>
    <row r="17" spans="1:4" x14ac:dyDescent="0.3">
      <c r="A17" s="26">
        <v>15</v>
      </c>
      <c r="B17" s="30">
        <f t="shared" si="2"/>
        <v>107325.54285714286</v>
      </c>
      <c r="C17" s="24">
        <f t="shared" si="1"/>
        <v>40294.89</v>
      </c>
      <c r="D17" s="24">
        <f t="shared" si="0"/>
        <v>67030.652857142864</v>
      </c>
    </row>
    <row r="18" spans="1:4" x14ac:dyDescent="0.3">
      <c r="A18" s="19">
        <v>16</v>
      </c>
      <c r="B18" s="29">
        <f t="shared" si="2"/>
        <v>114480.54285714286</v>
      </c>
      <c r="C18" s="22">
        <f t="shared" si="1"/>
        <v>40294.89</v>
      </c>
      <c r="D18" s="22">
        <f t="shared" si="0"/>
        <v>74185.652857142864</v>
      </c>
    </row>
    <row r="19" spans="1:4" x14ac:dyDescent="0.3">
      <c r="A19" s="19">
        <v>17</v>
      </c>
      <c r="B19" s="29">
        <f t="shared" si="2"/>
        <v>121635.54285714286</v>
      </c>
      <c r="C19" s="22">
        <f t="shared" si="1"/>
        <v>40294.89</v>
      </c>
      <c r="D19" s="22">
        <f t="shared" si="0"/>
        <v>81340.652857142864</v>
      </c>
    </row>
    <row r="20" spans="1:4" x14ac:dyDescent="0.3">
      <c r="A20" s="19">
        <v>18</v>
      </c>
      <c r="B20" s="29">
        <f t="shared" ref="B20:B26" si="3">B19+7155</f>
        <v>128790.54285714286</v>
      </c>
      <c r="C20" s="22">
        <f t="shared" si="1"/>
        <v>40294.89</v>
      </c>
      <c r="D20" s="22">
        <f t="shared" si="0"/>
        <v>88495.652857142864</v>
      </c>
    </row>
    <row r="21" spans="1:4" x14ac:dyDescent="0.3">
      <c r="A21" s="19">
        <v>19</v>
      </c>
      <c r="B21" s="29">
        <f t="shared" si="3"/>
        <v>135945.54285714286</v>
      </c>
      <c r="C21" s="22">
        <f t="shared" si="1"/>
        <v>40294.89</v>
      </c>
      <c r="D21" s="22">
        <f t="shared" si="0"/>
        <v>95650.652857142864</v>
      </c>
    </row>
    <row r="22" spans="1:4" x14ac:dyDescent="0.3">
      <c r="A22" s="19">
        <v>20</v>
      </c>
      <c r="B22" s="29">
        <f t="shared" si="3"/>
        <v>143100.54285714286</v>
      </c>
      <c r="C22" s="22">
        <f t="shared" si="1"/>
        <v>40294.89</v>
      </c>
      <c r="D22" s="24">
        <f t="shared" si="0"/>
        <v>102805.65285714286</v>
      </c>
    </row>
    <row r="23" spans="1:4" x14ac:dyDescent="0.3">
      <c r="A23" s="25">
        <v>21</v>
      </c>
      <c r="B23" s="29">
        <f t="shared" si="3"/>
        <v>150255.54285714286</v>
      </c>
      <c r="C23" s="22">
        <f t="shared" si="1"/>
        <v>40294.89</v>
      </c>
      <c r="D23" s="23">
        <f t="shared" si="0"/>
        <v>109960.65285714286</v>
      </c>
    </row>
    <row r="24" spans="1:4" x14ac:dyDescent="0.3">
      <c r="A24" s="19">
        <v>22</v>
      </c>
      <c r="B24" s="29">
        <f t="shared" si="3"/>
        <v>157410.54285714286</v>
      </c>
      <c r="C24" s="22">
        <f t="shared" si="1"/>
        <v>40294.89</v>
      </c>
      <c r="D24" s="22">
        <f t="shared" si="0"/>
        <v>117115.65285714286</v>
      </c>
    </row>
    <row r="25" spans="1:4" x14ac:dyDescent="0.3">
      <c r="A25" s="19">
        <v>23</v>
      </c>
      <c r="B25" s="29">
        <f t="shared" si="3"/>
        <v>164565.54285714286</v>
      </c>
      <c r="C25" s="22">
        <f t="shared" si="1"/>
        <v>40294.89</v>
      </c>
      <c r="D25" s="22">
        <f t="shared" si="0"/>
        <v>124270.65285714286</v>
      </c>
    </row>
    <row r="26" spans="1:4" x14ac:dyDescent="0.3">
      <c r="A26" s="19">
        <v>24</v>
      </c>
      <c r="B26" s="29">
        <f t="shared" si="3"/>
        <v>171720.54285714286</v>
      </c>
      <c r="C26" s="22">
        <f t="shared" si="1"/>
        <v>40294.89</v>
      </c>
      <c r="D26" s="22">
        <f t="shared" si="0"/>
        <v>131425.65285714285</v>
      </c>
    </row>
  </sheetData>
  <pageMargins left="0.7" right="0.7" top="0.75" bottom="0.75" header="0.3" footer="0.3"/>
  <pageSetup paperSize="9" orientation="portrait" r:id="rId1"/>
  <ignoredErrors>
    <ignoredError sqref="C1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sh1</vt:lpstr>
      <vt:lpstr>ec_ef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2022-11-08T10:47:53Z</dcterms:modified>
</cp:coreProperties>
</file>