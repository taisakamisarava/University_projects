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Лист1" sheetId="1" r:id="rId4"/>
    <sheet state="visible" name="показатели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>
  <authors>
    <author/>
  </authors>
  <commentList>
    <comment authorId="0" ref="F25">
      <text>
        <t xml:space="preserve">100 посетителей в день + спа-ритуалы и массаж
	-Taisia Komissarova</t>
      </text>
    </comment>
  </commentList>
</comments>
</file>

<file path=xl/sharedStrings.xml><?xml version="1.0" encoding="utf-8"?>
<sst xmlns="http://schemas.openxmlformats.org/spreadsheetml/2006/main" count="63" uniqueCount="56">
  <si>
    <t>Costs USD</t>
  </si>
  <si>
    <t xml:space="preserve">Costs per month, USD </t>
  </si>
  <si>
    <t>Income USD</t>
  </si>
  <si>
    <t xml:space="preserve">стартовые инвестиции </t>
  </si>
  <si>
    <t xml:space="preserve">ежемесячные затраты </t>
  </si>
  <si>
    <t>выручка за месяц, когда работаем в полную силу: 5 дней в неделю, 90-100 человек проходит чере студию в день + 3 дня в неделю массаж и спа-ритуалы, 3 сеанса</t>
  </si>
  <si>
    <t>аренда</t>
  </si>
  <si>
    <t xml:space="preserve">зп сотрудникам </t>
  </si>
  <si>
    <t>одно групповое занятие</t>
  </si>
  <si>
    <t>ремонт</t>
  </si>
  <si>
    <t xml:space="preserve">хоз расходы </t>
  </si>
  <si>
    <t xml:space="preserve">абонемент 8 занятий </t>
  </si>
  <si>
    <t>стиль + логотип</t>
  </si>
  <si>
    <t xml:space="preserve">реклама и маркетинг </t>
  </si>
  <si>
    <t>спа-ритуалы и массаж</t>
  </si>
  <si>
    <t>экипировка</t>
  </si>
  <si>
    <t xml:space="preserve">банковское обслуживание </t>
  </si>
  <si>
    <t>10-12 занятий по йоге в день</t>
  </si>
  <si>
    <t>90-100 чел проходят в день через студию</t>
  </si>
  <si>
    <t>сейчас 300 действующих абонементов, наща цель - 500</t>
  </si>
  <si>
    <t>Income (cumulative), USD</t>
  </si>
  <si>
    <t xml:space="preserve">Costs, USD </t>
  </si>
  <si>
    <t>Cash Flow, USD</t>
  </si>
  <si>
    <t>Revenue, USD</t>
  </si>
  <si>
    <t>10 clients per day</t>
  </si>
  <si>
    <t>20 per day</t>
  </si>
  <si>
    <t>30 per day</t>
  </si>
  <si>
    <t>40 per day</t>
  </si>
  <si>
    <t>50 per day</t>
  </si>
  <si>
    <t>60 per day</t>
  </si>
  <si>
    <t>70 per day</t>
  </si>
  <si>
    <t>80 per day</t>
  </si>
  <si>
    <t>90 per day</t>
  </si>
  <si>
    <t>full pack</t>
  </si>
  <si>
    <t>ｒｅｖｅｎｕｅ</t>
  </si>
  <si>
    <t>User Asq</t>
  </si>
  <si>
    <t>ARPU</t>
  </si>
  <si>
    <t>ARPU30</t>
  </si>
  <si>
    <t>new users</t>
  </si>
  <si>
    <t>ARPU7</t>
  </si>
  <si>
    <t>ARPU1</t>
  </si>
  <si>
    <t>C1</t>
  </si>
  <si>
    <t>Buyers</t>
  </si>
  <si>
    <t>ARPPU</t>
  </si>
  <si>
    <t>Marketing Costs</t>
  </si>
  <si>
    <t>CPAcq</t>
  </si>
  <si>
    <t>CAC</t>
  </si>
  <si>
    <t>Orders</t>
  </si>
  <si>
    <t>APC</t>
  </si>
  <si>
    <t>Average Price</t>
  </si>
  <si>
    <t>COGS</t>
  </si>
  <si>
    <t>Margin</t>
  </si>
  <si>
    <t>Customers at the End of period</t>
  </si>
  <si>
    <t>New Customers</t>
  </si>
  <si>
    <t>Customers at the start of period</t>
  </si>
  <si>
    <t>Customer Retention Rate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</si>
</sst>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theme="1"/>
      <name val="Roboto"/>
    </font>
    <font>
      <sz val="12.0"/>
      <color theme="1"/>
      <name val="Roboto"/>
    </font>
    <font>
      <sz val="10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FBBC04"/>
        <bgColor rgb="FFFBBC04"/>
      </patternFill>
    </fill>
    <fill>
      <patternFill patternType="solid">
        <fgColor theme="8"/>
        <bgColor theme="8"/>
      </patternFill>
    </fill>
    <fill>
      <patternFill patternType="solid">
        <fgColor theme="7"/>
        <bgColor theme="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bottom"/>
    </xf>
    <xf borderId="0" fillId="2" fontId="1" numFmtId="0" xfId="0" applyAlignment="1" applyFill="1" applyFont="1">
      <alignment horizontal="center" vertical="center"/>
    </xf>
    <xf borderId="0" fillId="2" fontId="1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center" vertical="center"/>
    </xf>
    <xf borderId="0" fillId="3" fontId="1" numFmtId="0" xfId="0" applyAlignment="1" applyFill="1" applyFont="1">
      <alignment horizontal="center" vertical="center"/>
    </xf>
    <xf borderId="0" fillId="3" fontId="1" numFmtId="0" xfId="0" applyAlignment="1" applyFont="1">
      <alignment horizontal="left" shrinkToFit="0" vertical="center" wrapText="0"/>
    </xf>
    <xf borderId="0" fillId="4" fontId="1" numFmtId="0" xfId="0" applyAlignment="1" applyFill="1" applyFont="1">
      <alignment horizontal="center" vertical="center"/>
    </xf>
    <xf borderId="0" fillId="4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right" vertical="bottom"/>
    </xf>
    <xf borderId="0" fillId="5" fontId="3" numFmtId="0" xfId="0" applyAlignment="1" applyFill="1" applyFont="1">
      <alignment vertical="bottom"/>
    </xf>
    <xf borderId="0" fillId="0" fontId="1" numFmtId="0" xfId="0" applyAlignment="1" applyFont="1">
      <alignment horizontal="left" vertical="bottom"/>
    </xf>
    <xf borderId="0" fillId="5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0" xfId="0" applyFont="1"/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6" fontId="1" numFmtId="0" xfId="0" applyAlignment="1" applyFill="1" applyFont="1">
      <alignment horizontal="left" vertical="bottom"/>
    </xf>
    <xf borderId="0" fillId="0" fontId="5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5" fontId="0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3.88"/>
    <col customWidth="1" min="6" max="6" width="14.25"/>
    <col customWidth="1" min="10" max="10" width="53.0"/>
  </cols>
  <sheetData>
    <row r="2">
      <c r="A2" s="1" t="s">
        <v>0</v>
      </c>
      <c r="B2" s="1"/>
      <c r="C2" s="1"/>
      <c r="E2" s="2" t="s">
        <v>1</v>
      </c>
      <c r="F2" s="1"/>
      <c r="G2" s="1"/>
      <c r="I2" s="3" t="s">
        <v>2</v>
      </c>
      <c r="J2" s="1"/>
    </row>
    <row r="3">
      <c r="A3" s="4">
        <f>SUM(A4:A7)</f>
        <v>20960</v>
      </c>
      <c r="B3" s="5" t="s">
        <v>3</v>
      </c>
      <c r="C3" s="6"/>
      <c r="D3" s="6"/>
      <c r="E3" s="7">
        <f>SUM(E4:E7)</f>
        <v>8560</v>
      </c>
      <c r="F3" s="8" t="s">
        <v>4</v>
      </c>
      <c r="G3" s="6"/>
      <c r="H3" s="6"/>
      <c r="I3" s="9">
        <f> 100 * 5 * 4 *I4 + 3 * 3 * 4 *I6</f>
        <v>13880</v>
      </c>
      <c r="J3" s="10" t="s">
        <v>5</v>
      </c>
    </row>
    <row r="4">
      <c r="A4" s="11">
        <v>480.0</v>
      </c>
      <c r="B4" s="12" t="s">
        <v>6</v>
      </c>
      <c r="E4" s="11">
        <v>6320.0</v>
      </c>
      <c r="F4" s="12" t="s">
        <v>7</v>
      </c>
      <c r="I4" s="11">
        <v>6.4</v>
      </c>
      <c r="J4" s="13" t="s">
        <v>8</v>
      </c>
    </row>
    <row r="5">
      <c r="A5" s="11">
        <v>18720.0</v>
      </c>
      <c r="B5" s="12" t="s">
        <v>9</v>
      </c>
      <c r="E5" s="11">
        <v>320.0</v>
      </c>
      <c r="F5" s="12" t="s">
        <v>10</v>
      </c>
      <c r="I5" s="11">
        <v>64.0</v>
      </c>
      <c r="J5" s="13" t="s">
        <v>11</v>
      </c>
    </row>
    <row r="6">
      <c r="A6" s="11">
        <v>320.0</v>
      </c>
      <c r="B6" s="14" t="s">
        <v>12</v>
      </c>
      <c r="E6" s="11">
        <v>720.0</v>
      </c>
      <c r="F6" s="14" t="s">
        <v>13</v>
      </c>
      <c r="I6" s="11">
        <v>30.0</v>
      </c>
      <c r="J6" s="13" t="s">
        <v>14</v>
      </c>
    </row>
    <row r="7">
      <c r="A7" s="11">
        <v>1440.0</v>
      </c>
      <c r="B7" s="12" t="s">
        <v>15</v>
      </c>
      <c r="E7" s="11">
        <v>1200.0</v>
      </c>
      <c r="F7" s="12" t="s">
        <v>16</v>
      </c>
    </row>
    <row r="8">
      <c r="F8" s="12"/>
      <c r="I8" s="15" t="s">
        <v>17</v>
      </c>
      <c r="J8" s="16"/>
    </row>
    <row r="9">
      <c r="F9" s="14"/>
      <c r="I9" s="15" t="s">
        <v>18</v>
      </c>
      <c r="J9" s="16"/>
    </row>
    <row r="10">
      <c r="I10" s="15" t="s">
        <v>19</v>
      </c>
      <c r="J10" s="16"/>
    </row>
    <row r="14">
      <c r="A14" s="1"/>
      <c r="B14" s="17" t="s">
        <v>20</v>
      </c>
      <c r="C14" s="18" t="s">
        <v>21</v>
      </c>
      <c r="D14" s="17" t="s">
        <v>22</v>
      </c>
      <c r="E14" s="17" t="s">
        <v>23</v>
      </c>
      <c r="F14" s="1"/>
    </row>
    <row r="15">
      <c r="A15" s="13">
        <v>0.0</v>
      </c>
      <c r="B15" s="13">
        <v>0.0</v>
      </c>
      <c r="C15" s="13">
        <v>-20960.0</v>
      </c>
      <c r="D15" s="13">
        <f t="shared" ref="D15:D32" si="1">B15+C15</f>
        <v>-20960</v>
      </c>
      <c r="E15" s="13">
        <v>0.0</v>
      </c>
      <c r="F15" s="1"/>
    </row>
    <row r="16">
      <c r="A16" s="13">
        <v>1.0</v>
      </c>
      <c r="B16" s="13">
        <f>E16</f>
        <v>1024</v>
      </c>
      <c r="C16" s="13">
        <f t="shared" ref="C16:C32" si="2">C15-$E$3</f>
        <v>-29520</v>
      </c>
      <c r="D16" s="13">
        <f t="shared" si="1"/>
        <v>-28496</v>
      </c>
      <c r="E16" s="13">
        <f> 10 * 4 * 4 * $I$4</f>
        <v>1024</v>
      </c>
      <c r="F16" s="3" t="s">
        <v>24</v>
      </c>
    </row>
    <row r="17">
      <c r="A17" s="13">
        <v>2.0</v>
      </c>
      <c r="B17" s="13">
        <f> B16+ E17</f>
        <v>3072</v>
      </c>
      <c r="C17" s="13">
        <f t="shared" si="2"/>
        <v>-38080</v>
      </c>
      <c r="D17" s="13">
        <f t="shared" si="1"/>
        <v>-35008</v>
      </c>
      <c r="E17" s="13">
        <f> 20 * 4 * 4 * $I$4</f>
        <v>2048</v>
      </c>
      <c r="F17" s="1" t="s">
        <v>25</v>
      </c>
    </row>
    <row r="18">
      <c r="A18" s="13">
        <v>3.0</v>
      </c>
      <c r="B18" s="13">
        <f t="shared" ref="B18:B32" si="3"> B17 + E18</f>
        <v>6912</v>
      </c>
      <c r="C18" s="13">
        <f t="shared" si="2"/>
        <v>-46640</v>
      </c>
      <c r="D18" s="13">
        <f t="shared" si="1"/>
        <v>-39728</v>
      </c>
      <c r="E18" s="13">
        <f> 30 * 5 * 4 * $I$4</f>
        <v>3840</v>
      </c>
      <c r="F18" s="1" t="s">
        <v>26</v>
      </c>
    </row>
    <row r="19">
      <c r="A19" s="13">
        <v>4.0</v>
      </c>
      <c r="B19" s="13">
        <f t="shared" si="3"/>
        <v>12032</v>
      </c>
      <c r="C19" s="13">
        <f t="shared" si="2"/>
        <v>-55200</v>
      </c>
      <c r="D19" s="13">
        <f t="shared" si="1"/>
        <v>-43168</v>
      </c>
      <c r="E19" s="13">
        <f> 40 * 5 * 4 * $I$4</f>
        <v>5120</v>
      </c>
      <c r="F19" s="1" t="s">
        <v>27</v>
      </c>
    </row>
    <row r="20">
      <c r="A20" s="13">
        <v>5.0</v>
      </c>
      <c r="B20" s="13">
        <f t="shared" si="3"/>
        <v>18432</v>
      </c>
      <c r="C20" s="13">
        <f t="shared" si="2"/>
        <v>-63760</v>
      </c>
      <c r="D20" s="13">
        <f t="shared" si="1"/>
        <v>-45328</v>
      </c>
      <c r="E20" s="13">
        <f> 50 * 5 * 4 * $I$4</f>
        <v>6400</v>
      </c>
      <c r="F20" s="1" t="s">
        <v>28</v>
      </c>
    </row>
    <row r="21">
      <c r="A21" s="13">
        <v>6.0</v>
      </c>
      <c r="B21" s="13">
        <f t="shared" si="3"/>
        <v>26112</v>
      </c>
      <c r="C21" s="13">
        <f t="shared" si="2"/>
        <v>-72320</v>
      </c>
      <c r="D21" s="13">
        <f t="shared" si="1"/>
        <v>-46208</v>
      </c>
      <c r="E21" s="13">
        <f> 60 * 5 * 4 * $I$4</f>
        <v>7680</v>
      </c>
      <c r="F21" s="1" t="s">
        <v>29</v>
      </c>
    </row>
    <row r="22">
      <c r="A22" s="13">
        <v>7.0</v>
      </c>
      <c r="B22" s="13">
        <f t="shared" si="3"/>
        <v>35072</v>
      </c>
      <c r="C22" s="13">
        <f t="shared" si="2"/>
        <v>-80880</v>
      </c>
      <c r="D22" s="13">
        <f t="shared" si="1"/>
        <v>-45808</v>
      </c>
      <c r="E22" s="13">
        <f> 70 * 5 * 4 * $I$4</f>
        <v>8960</v>
      </c>
      <c r="F22" s="1" t="s">
        <v>30</v>
      </c>
    </row>
    <row r="23">
      <c r="A23" s="13">
        <v>8.0</v>
      </c>
      <c r="B23" s="13">
        <f t="shared" si="3"/>
        <v>45312</v>
      </c>
      <c r="C23" s="13">
        <f t="shared" si="2"/>
        <v>-89440</v>
      </c>
      <c r="D23" s="13">
        <f t="shared" si="1"/>
        <v>-44128</v>
      </c>
      <c r="E23" s="13">
        <f> 80 * 5 * 4 * $I$4</f>
        <v>10240</v>
      </c>
      <c r="F23" s="1" t="s">
        <v>31</v>
      </c>
    </row>
    <row r="24">
      <c r="A24" s="13">
        <v>9.0</v>
      </c>
      <c r="B24" s="13">
        <f t="shared" si="3"/>
        <v>56832</v>
      </c>
      <c r="C24" s="13">
        <f t="shared" si="2"/>
        <v>-98000</v>
      </c>
      <c r="D24" s="13">
        <f t="shared" si="1"/>
        <v>-41168</v>
      </c>
      <c r="E24" s="13">
        <f> 90 * 5 * 4 * $I$4</f>
        <v>11520</v>
      </c>
      <c r="F24" s="1" t="s">
        <v>32</v>
      </c>
    </row>
    <row r="25">
      <c r="A25" s="13">
        <v>10.0</v>
      </c>
      <c r="B25" s="13">
        <f t="shared" si="3"/>
        <v>70712</v>
      </c>
      <c r="C25" s="13">
        <f t="shared" si="2"/>
        <v>-106560</v>
      </c>
      <c r="D25" s="13">
        <f t="shared" si="1"/>
        <v>-35848</v>
      </c>
      <c r="E25" s="13">
        <f t="shared" ref="E25:E32" si="4"> 100 * 5 * 4 * $I$4 + 3 * 4 * 3 * $I$6</f>
        <v>13880</v>
      </c>
      <c r="F25" s="1" t="s">
        <v>33</v>
      </c>
    </row>
    <row r="26">
      <c r="A26" s="13">
        <v>11.0</v>
      </c>
      <c r="B26" s="13">
        <f t="shared" si="3"/>
        <v>84592</v>
      </c>
      <c r="C26" s="13">
        <f t="shared" si="2"/>
        <v>-115120</v>
      </c>
      <c r="D26" s="13">
        <f t="shared" si="1"/>
        <v>-30528</v>
      </c>
      <c r="E26" s="13">
        <f t="shared" si="4"/>
        <v>13880</v>
      </c>
      <c r="F26" s="1" t="s">
        <v>33</v>
      </c>
    </row>
    <row r="27">
      <c r="A27" s="13">
        <v>12.0</v>
      </c>
      <c r="B27" s="13">
        <f t="shared" si="3"/>
        <v>98472</v>
      </c>
      <c r="C27" s="13">
        <f t="shared" si="2"/>
        <v>-123680</v>
      </c>
      <c r="D27" s="13">
        <f t="shared" si="1"/>
        <v>-25208</v>
      </c>
      <c r="E27" s="13">
        <f t="shared" si="4"/>
        <v>13880</v>
      </c>
      <c r="F27" s="1" t="s">
        <v>33</v>
      </c>
    </row>
    <row r="28">
      <c r="A28" s="13">
        <v>13.0</v>
      </c>
      <c r="B28" s="13">
        <f t="shared" si="3"/>
        <v>112352</v>
      </c>
      <c r="C28" s="13">
        <f t="shared" si="2"/>
        <v>-132240</v>
      </c>
      <c r="D28" s="13">
        <f t="shared" si="1"/>
        <v>-19888</v>
      </c>
      <c r="E28" s="13">
        <f t="shared" si="4"/>
        <v>13880</v>
      </c>
      <c r="F28" s="1" t="s">
        <v>33</v>
      </c>
    </row>
    <row r="29">
      <c r="A29" s="13">
        <v>14.0</v>
      </c>
      <c r="B29" s="13">
        <f t="shared" si="3"/>
        <v>126232</v>
      </c>
      <c r="C29" s="13">
        <f t="shared" si="2"/>
        <v>-140800</v>
      </c>
      <c r="D29" s="13">
        <f t="shared" si="1"/>
        <v>-14568</v>
      </c>
      <c r="E29" s="13">
        <f t="shared" si="4"/>
        <v>13880</v>
      </c>
      <c r="F29" s="1" t="s">
        <v>33</v>
      </c>
    </row>
    <row r="30">
      <c r="A30" s="13">
        <v>15.0</v>
      </c>
      <c r="B30" s="13">
        <f t="shared" si="3"/>
        <v>140112</v>
      </c>
      <c r="C30" s="13">
        <f t="shared" si="2"/>
        <v>-149360</v>
      </c>
      <c r="D30" s="13">
        <f t="shared" si="1"/>
        <v>-9248</v>
      </c>
      <c r="E30" s="13">
        <f t="shared" si="4"/>
        <v>13880</v>
      </c>
      <c r="F30" s="1" t="s">
        <v>33</v>
      </c>
    </row>
    <row r="31">
      <c r="A31" s="13">
        <v>16.0</v>
      </c>
      <c r="B31" s="13">
        <f t="shared" si="3"/>
        <v>153992</v>
      </c>
      <c r="C31" s="13">
        <f t="shared" si="2"/>
        <v>-157920</v>
      </c>
      <c r="D31" s="13">
        <f t="shared" si="1"/>
        <v>-3928</v>
      </c>
      <c r="E31" s="13">
        <f t="shared" si="4"/>
        <v>13880</v>
      </c>
      <c r="F31" s="1" t="s">
        <v>33</v>
      </c>
    </row>
    <row r="32">
      <c r="A32" s="19">
        <v>17.0</v>
      </c>
      <c r="B32" s="13">
        <f t="shared" si="3"/>
        <v>167872</v>
      </c>
      <c r="C32" s="13">
        <f t="shared" si="2"/>
        <v>-166480</v>
      </c>
      <c r="D32" s="19">
        <f t="shared" si="1"/>
        <v>1392</v>
      </c>
      <c r="E32" s="13">
        <f t="shared" si="4"/>
        <v>13880</v>
      </c>
      <c r="F32" s="1" t="s">
        <v>33</v>
      </c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88"/>
    <col customWidth="1" min="2" max="2" width="11.63"/>
  </cols>
  <sheetData>
    <row r="1">
      <c r="A1" s="20" t="s">
        <v>34</v>
      </c>
      <c r="B1" s="21">
        <v>13880.0</v>
      </c>
    </row>
    <row r="2">
      <c r="A2" s="20" t="s">
        <v>35</v>
      </c>
      <c r="B2" s="21">
        <v>2000.0</v>
      </c>
    </row>
    <row r="3">
      <c r="A3" s="20" t="s">
        <v>36</v>
      </c>
      <c r="B3" s="22">
        <f>B1/B2</f>
        <v>6.94</v>
      </c>
    </row>
    <row r="4">
      <c r="A4" s="23" t="s">
        <v>37</v>
      </c>
      <c r="B4" s="22">
        <f>B1/B2/D4</f>
        <v>23.13333333</v>
      </c>
      <c r="C4" s="21" t="s">
        <v>38</v>
      </c>
      <c r="D4" s="21">
        <v>0.3</v>
      </c>
    </row>
    <row r="5">
      <c r="A5" s="23" t="s">
        <v>39</v>
      </c>
      <c r="B5" s="22">
        <f>(B1/4) / (100 * 5 + 3 * 3)</f>
        <v>6.817288802</v>
      </c>
    </row>
    <row r="6">
      <c r="A6" s="23" t="s">
        <v>40</v>
      </c>
      <c r="B6" s="22">
        <f> (B1/20) / (100 + 3)</f>
        <v>6.737864078</v>
      </c>
    </row>
    <row r="7">
      <c r="A7" s="20" t="s">
        <v>41</v>
      </c>
      <c r="B7" s="21">
        <v>0.05</v>
      </c>
    </row>
    <row r="8">
      <c r="A8" s="20" t="s">
        <v>42</v>
      </c>
      <c r="B8" s="22">
        <f>B2 * B7</f>
        <v>100</v>
      </c>
    </row>
    <row r="9">
      <c r="A9" s="23" t="s">
        <v>43</v>
      </c>
      <c r="B9" s="22">
        <f>B3 / B7</f>
        <v>138.8</v>
      </c>
    </row>
    <row r="10">
      <c r="A10" s="20" t="s">
        <v>44</v>
      </c>
      <c r="B10" s="21">
        <v>720.0</v>
      </c>
    </row>
    <row r="11">
      <c r="A11" s="23" t="s">
        <v>45</v>
      </c>
      <c r="B11" s="22">
        <f>B10 / B2</f>
        <v>0.36</v>
      </c>
    </row>
    <row r="12">
      <c r="A12" s="23" t="s">
        <v>46</v>
      </c>
      <c r="B12" s="22">
        <f>B10 / B8</f>
        <v>7.2</v>
      </c>
    </row>
    <row r="13">
      <c r="A13" s="23" t="s">
        <v>47</v>
      </c>
      <c r="B13" s="21">
        <v>1836.0</v>
      </c>
    </row>
    <row r="14">
      <c r="A14" s="23" t="s">
        <v>48</v>
      </c>
      <c r="B14" s="22">
        <f>B13 / B8</f>
        <v>18.36</v>
      </c>
    </row>
    <row r="15">
      <c r="A15" s="23" t="s">
        <v>49</v>
      </c>
      <c r="B15" s="22">
        <f>B1 / B13</f>
        <v>7.559912854</v>
      </c>
    </row>
    <row r="16">
      <c r="A16" s="20" t="s">
        <v>50</v>
      </c>
      <c r="B16" s="21">
        <v>0.5</v>
      </c>
    </row>
    <row r="17">
      <c r="A17" s="23" t="s">
        <v>51</v>
      </c>
      <c r="B17" s="22">
        <f> (B15 - B16) / B15</f>
        <v>0.9338616715</v>
      </c>
    </row>
    <row r="18">
      <c r="A18" s="23" t="s">
        <v>52</v>
      </c>
      <c r="B18" s="21">
        <v>2036.0</v>
      </c>
    </row>
    <row r="19">
      <c r="A19" s="23" t="s">
        <v>53</v>
      </c>
      <c r="B19" s="21">
        <v>210.0</v>
      </c>
    </row>
    <row r="20">
      <c r="A20" s="23" t="s">
        <v>54</v>
      </c>
      <c r="B20" s="21">
        <v>2036.0</v>
      </c>
    </row>
    <row r="21">
      <c r="A21" s="23" t="s">
        <v>55</v>
      </c>
      <c r="B21" s="22">
        <f> (B18 - B19) / B20</f>
        <v>0.8968565815</v>
      </c>
    </row>
  </sheetData>
  <drawing r:id="rId1"/>
</worksheet>
</file>