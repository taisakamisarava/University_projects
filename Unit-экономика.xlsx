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7256" windowHeight="5772"/>
  </bookViews>
  <sheets>
    <sheet name="показатели" sheetId="2" r:id="rId1"/>
    <sheet name="расчётные данные" sheetId="1" r:id="rId2"/>
  </sheets>
  <calcPr calcId="162913"/>
</workbook>
</file>

<file path=xl/calcChain.xml><?xml version="1.0" encoding="utf-8"?>
<calcChain xmlns="http://schemas.openxmlformats.org/spreadsheetml/2006/main">
  <c r="B21" i="2" l="1"/>
  <c r="B15" i="2"/>
  <c r="B17" i="2" s="1"/>
  <c r="B11" i="2"/>
  <c r="B8" i="2"/>
  <c r="B12" i="2" s="1"/>
  <c r="B6" i="2"/>
  <c r="B5" i="2"/>
  <c r="B4" i="2"/>
  <c r="B3" i="2"/>
  <c r="B9" i="2" s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B16" i="1" s="1"/>
  <c r="D15" i="1"/>
  <c r="I3" i="1"/>
  <c r="E3" i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A3" i="1"/>
  <c r="D16" i="1" l="1"/>
  <c r="B17" i="1"/>
  <c r="B14" i="2"/>
  <c r="D17" i="1" l="1"/>
  <c r="B18" i="1"/>
  <c r="D18" i="1" l="1"/>
  <c r="B19" i="1"/>
  <c r="D19" i="1" l="1"/>
  <c r="B20" i="1"/>
  <c r="D20" i="1" l="1"/>
  <c r="B21" i="1"/>
  <c r="D21" i="1" l="1"/>
  <c r="B22" i="1"/>
  <c r="D22" i="1" l="1"/>
  <c r="B23" i="1"/>
  <c r="D23" i="1" l="1"/>
  <c r="B24" i="1"/>
  <c r="D24" i="1" l="1"/>
  <c r="B25" i="1"/>
  <c r="D25" i="1" l="1"/>
  <c r="B26" i="1"/>
  <c r="D26" i="1" l="1"/>
  <c r="B27" i="1"/>
  <c r="D27" i="1" l="1"/>
  <c r="B28" i="1"/>
  <c r="D28" i="1" l="1"/>
  <c r="B29" i="1"/>
  <c r="D29" i="1" l="1"/>
  <c r="B30" i="1"/>
  <c r="D30" i="1" l="1"/>
  <c r="B31" i="1"/>
  <c r="D31" i="1" l="1"/>
  <c r="B32" i="1"/>
  <c r="D32" i="1" s="1"/>
</calcChain>
</file>

<file path=xl/comments1.xml><?xml version="1.0" encoding="utf-8"?>
<comments xmlns="http://schemas.openxmlformats.org/spreadsheetml/2006/main">
  <authors>
    <author/>
  </authors>
  <commentList>
    <comment ref="F25" authorId="0" shapeId="0">
      <text>
        <r>
          <rPr>
            <sz val="10"/>
            <color rgb="FF000000"/>
            <rFont val="Arial"/>
            <scheme val="minor"/>
          </rPr>
          <t>100 посетителей в день + спа-ритуалы и массаж
	-Taisia Komissarova</t>
        </r>
      </text>
    </comment>
  </commentList>
</comments>
</file>

<file path=xl/sharedStrings.xml><?xml version="1.0" encoding="utf-8"?>
<sst xmlns="http://schemas.openxmlformats.org/spreadsheetml/2006/main" count="60" uniqueCount="53">
  <si>
    <t xml:space="preserve">Costs per month, USD </t>
  </si>
  <si>
    <t xml:space="preserve">стартовые инвестиции </t>
  </si>
  <si>
    <t xml:space="preserve">ежемесячные затраты </t>
  </si>
  <si>
    <t>выручка за месяц, когда работаем в полную силу: 5 дней в неделю, 90-100 человек проходит чере студию в день + 3 дня в неделю массаж и спа-ритуалы, 3 сеанса</t>
  </si>
  <si>
    <t>аренда</t>
  </si>
  <si>
    <t xml:space="preserve">зп сотрудникам </t>
  </si>
  <si>
    <t>одно групповое занятие</t>
  </si>
  <si>
    <t>ремонт</t>
  </si>
  <si>
    <t xml:space="preserve">хоз расходы </t>
  </si>
  <si>
    <t xml:space="preserve">абонемент 8 занятий </t>
  </si>
  <si>
    <t>стиль + логотип</t>
  </si>
  <si>
    <t xml:space="preserve">реклама и маркетинг </t>
  </si>
  <si>
    <t>спа-ритуалы и массаж</t>
  </si>
  <si>
    <t>экипировка</t>
  </si>
  <si>
    <t xml:space="preserve">банковское обслуживание </t>
  </si>
  <si>
    <t>Income (cumulative), USD</t>
  </si>
  <si>
    <t xml:space="preserve">Costs, USD </t>
  </si>
  <si>
    <t>Cash Flow, USD</t>
  </si>
  <si>
    <t>Revenue, USD</t>
  </si>
  <si>
    <t>10 clients per day</t>
  </si>
  <si>
    <t>20 per day</t>
  </si>
  <si>
    <t>30 per day</t>
  </si>
  <si>
    <t>40 per day</t>
  </si>
  <si>
    <t>50 per day</t>
  </si>
  <si>
    <t>60 per day</t>
  </si>
  <si>
    <t>70 per day</t>
  </si>
  <si>
    <t>80 per day</t>
  </si>
  <si>
    <t>90 per day</t>
  </si>
  <si>
    <t>full pack</t>
  </si>
  <si>
    <t>ｒｅｖｅｎｕｅ</t>
  </si>
  <si>
    <t>User Asq</t>
  </si>
  <si>
    <t>ARPU</t>
  </si>
  <si>
    <t>ARPU30</t>
  </si>
  <si>
    <t>new users</t>
  </si>
  <si>
    <t>ARPU7</t>
  </si>
  <si>
    <t>ARPU1</t>
  </si>
  <si>
    <t>C1</t>
  </si>
  <si>
    <t>Buyers</t>
  </si>
  <si>
    <t>ARPPU</t>
  </si>
  <si>
    <t>Marketing Costs</t>
  </si>
  <si>
    <t>CPAcq</t>
  </si>
  <si>
    <t>CAC</t>
  </si>
  <si>
    <t>Orders</t>
  </si>
  <si>
    <t>APC</t>
  </si>
  <si>
    <t>Average Price</t>
  </si>
  <si>
    <t>COGS</t>
  </si>
  <si>
    <t>Margin</t>
  </si>
  <si>
    <t>Customers at the End of period</t>
  </si>
  <si>
    <t>New Customers</t>
  </si>
  <si>
    <t>Customers at the start of period</t>
  </si>
  <si>
    <t>Customer Retention Rate</t>
  </si>
  <si>
    <t>Income, USD</t>
  </si>
  <si>
    <t>Costs,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</si>
</sst>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Roboto"/>
    </font>
    <font>
      <sz val="12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FBBC04"/>
        <bgColor rgb="FFFBBC04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1"/>
  <sheetViews>
    <sheetView tabSelected="1" workbookViewId="0">
      <selection activeCell="B4" sqref="B4"/>
    </sheetView>
  </sheetViews>
  <sheetFormatPr defaultColWidth="12.6640625" defaultRowHeight="15.75" customHeight="1"/>
  <cols>
    <col min="1" max="1" width="28.33203125" customWidth="1"/>
    <col min="2" max="2" width="11.6640625" customWidth="1"/>
    <col min="3" max="3" width="10.77734375" customWidth="1"/>
  </cols>
  <sheetData>
    <row r="1" spans="1:4">
      <c r="A1" t="s">
        <v>29</v>
      </c>
      <c r="B1">
        <v>13880</v>
      </c>
    </row>
    <row r="2" spans="1:4">
      <c r="A2" t="s">
        <v>30</v>
      </c>
      <c r="B2">
        <v>2000</v>
      </c>
    </row>
    <row r="3" spans="1:4">
      <c r="A3" t="s">
        <v>31</v>
      </c>
      <c r="B3">
        <f>B1/B2</f>
        <v>6.94</v>
      </c>
    </row>
    <row r="4" spans="1:4">
      <c r="A4" t="s">
        <v>32</v>
      </c>
      <c r="B4">
        <f>B1/B2/D4</f>
        <v>23.133333333333336</v>
      </c>
      <c r="C4" t="s">
        <v>33</v>
      </c>
      <c r="D4">
        <v>0.3</v>
      </c>
    </row>
    <row r="5" spans="1:4">
      <c r="A5" t="s">
        <v>34</v>
      </c>
      <c r="B5">
        <f>(B1/4) / (100 * 5 + 3 * 3)</f>
        <v>6.817288801571709</v>
      </c>
    </row>
    <row r="6" spans="1:4">
      <c r="A6" t="s">
        <v>35</v>
      </c>
      <c r="B6">
        <f>(B1/20) / (100 + 3)</f>
        <v>6.7378640776699026</v>
      </c>
    </row>
    <row r="7" spans="1:4">
      <c r="A7" t="s">
        <v>36</v>
      </c>
      <c r="B7">
        <v>0.05</v>
      </c>
    </row>
    <row r="8" spans="1:4">
      <c r="A8" t="s">
        <v>37</v>
      </c>
      <c r="B8">
        <f>B2 * B7</f>
        <v>100</v>
      </c>
    </row>
    <row r="9" spans="1:4">
      <c r="A9" t="s">
        <v>38</v>
      </c>
      <c r="B9">
        <f>B3 / B7</f>
        <v>138.80000000000001</v>
      </c>
    </row>
    <row r="10" spans="1:4">
      <c r="A10" t="s">
        <v>39</v>
      </c>
      <c r="B10">
        <v>720</v>
      </c>
    </row>
    <row r="11" spans="1:4">
      <c r="A11" t="s">
        <v>40</v>
      </c>
      <c r="B11">
        <f>B10 / B2</f>
        <v>0.36</v>
      </c>
    </row>
    <row r="12" spans="1:4">
      <c r="A12" t="s">
        <v>41</v>
      </c>
      <c r="B12">
        <f>B10 / B8</f>
        <v>7.2</v>
      </c>
    </row>
    <row r="13" spans="1:4">
      <c r="A13" t="s">
        <v>42</v>
      </c>
      <c r="B13">
        <v>1836</v>
      </c>
    </row>
    <row r="14" spans="1:4">
      <c r="A14" t="s">
        <v>43</v>
      </c>
      <c r="B14">
        <f>B13 / B8</f>
        <v>18.36</v>
      </c>
    </row>
    <row r="15" spans="1:4">
      <c r="A15" t="s">
        <v>44</v>
      </c>
      <c r="B15">
        <f>B1 / B13</f>
        <v>7.5599128540305012</v>
      </c>
    </row>
    <row r="16" spans="1:4">
      <c r="A16" t="s">
        <v>45</v>
      </c>
      <c r="B16">
        <v>0.5</v>
      </c>
    </row>
    <row r="17" spans="1:2">
      <c r="A17" t="s">
        <v>46</v>
      </c>
      <c r="B17">
        <f>(B15 - B16) / B15</f>
        <v>0.93386167146974064</v>
      </c>
    </row>
    <row r="18" spans="1:2">
      <c r="A18" t="s">
        <v>47</v>
      </c>
      <c r="B18">
        <v>2036</v>
      </c>
    </row>
    <row r="19" spans="1:2">
      <c r="A19" t="s">
        <v>48</v>
      </c>
      <c r="B19">
        <v>210</v>
      </c>
    </row>
    <row r="20" spans="1:2">
      <c r="A20" t="s">
        <v>49</v>
      </c>
      <c r="B20">
        <v>2036</v>
      </c>
    </row>
    <row r="21" spans="1:2">
      <c r="A21" t="s">
        <v>50</v>
      </c>
      <c r="B21">
        <f>(B18 - B19) / B20</f>
        <v>0.89685658153241654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2:J32"/>
  <sheetViews>
    <sheetView workbookViewId="0">
      <selection activeCell="I10" sqref="I10"/>
    </sheetView>
  </sheetViews>
  <sheetFormatPr defaultColWidth="12.6640625" defaultRowHeight="15.75" customHeight="1"/>
  <cols>
    <col min="2" max="2" width="13.88671875" customWidth="1"/>
    <col min="6" max="6" width="14.21875" customWidth="1"/>
    <col min="10" max="10" width="53" customWidth="1"/>
  </cols>
  <sheetData>
    <row r="2" spans="1:10">
      <c r="A2" s="1" t="s">
        <v>52</v>
      </c>
      <c r="B2" s="1"/>
      <c r="C2" s="1"/>
      <c r="E2" s="2" t="s">
        <v>0</v>
      </c>
      <c r="F2" s="1"/>
      <c r="G2" s="1"/>
      <c r="I2" s="3" t="s">
        <v>51</v>
      </c>
      <c r="J2" s="1"/>
    </row>
    <row r="3" spans="1:10" ht="38.4" customHeight="1">
      <c r="A3" s="4">
        <f>SUM(A4:A7)</f>
        <v>20960</v>
      </c>
      <c r="B3" s="16" t="s">
        <v>1</v>
      </c>
      <c r="C3" s="5"/>
      <c r="D3" s="5"/>
      <c r="E3" s="6">
        <f>SUM(E4:E7)</f>
        <v>8560</v>
      </c>
      <c r="F3" s="17" t="s">
        <v>2</v>
      </c>
      <c r="G3" s="5"/>
      <c r="H3" s="5"/>
      <c r="I3" s="7">
        <f>100 * 5 * 4 *I4 + 3 * 3 * 4 *I6</f>
        <v>13880</v>
      </c>
      <c r="J3" s="8" t="s">
        <v>3</v>
      </c>
    </row>
    <row r="4" spans="1:10" ht="13.2">
      <c r="A4">
        <v>480</v>
      </c>
      <c r="B4" t="s">
        <v>4</v>
      </c>
      <c r="E4">
        <v>6320</v>
      </c>
      <c r="F4" t="s">
        <v>5</v>
      </c>
      <c r="I4" s="9">
        <v>6.4</v>
      </c>
      <c r="J4" s="10" t="s">
        <v>6</v>
      </c>
    </row>
    <row r="5" spans="1:10" ht="13.2">
      <c r="A5">
        <v>18720</v>
      </c>
      <c r="B5" t="s">
        <v>7</v>
      </c>
      <c r="E5">
        <v>320</v>
      </c>
      <c r="F5" t="s">
        <v>8</v>
      </c>
      <c r="I5" s="9">
        <v>64</v>
      </c>
      <c r="J5" s="10" t="s">
        <v>9</v>
      </c>
    </row>
    <row r="6" spans="1:10" ht="13.2">
      <c r="A6">
        <v>320</v>
      </c>
      <c r="B6" t="s">
        <v>10</v>
      </c>
      <c r="E6">
        <v>720</v>
      </c>
      <c r="F6" t="s">
        <v>11</v>
      </c>
      <c r="I6" s="9">
        <v>30</v>
      </c>
      <c r="J6" s="10" t="s">
        <v>12</v>
      </c>
    </row>
    <row r="7" spans="1:10" ht="13.2">
      <c r="A7">
        <v>1440</v>
      </c>
      <c r="B7" t="s">
        <v>13</v>
      </c>
      <c r="E7">
        <v>1200</v>
      </c>
      <c r="F7" t="s">
        <v>14</v>
      </c>
    </row>
    <row r="8" spans="1:10" ht="15">
      <c r="I8" s="11"/>
      <c r="J8" s="12"/>
    </row>
    <row r="9" spans="1:10" ht="15">
      <c r="I9" s="11"/>
      <c r="J9" s="12"/>
    </row>
    <row r="10" spans="1:10">
      <c r="I10" s="11"/>
      <c r="J10" s="12"/>
    </row>
    <row r="14" spans="1:10" ht="47.4" customHeight="1">
      <c r="A14" s="1"/>
      <c r="B14" s="13" t="s">
        <v>15</v>
      </c>
      <c r="C14" s="14" t="s">
        <v>16</v>
      </c>
      <c r="D14" s="13" t="s">
        <v>17</v>
      </c>
      <c r="E14" s="13" t="s">
        <v>18</v>
      </c>
      <c r="F14" s="1"/>
    </row>
    <row r="15" spans="1:10">
      <c r="A15" s="10">
        <v>0</v>
      </c>
      <c r="B15" s="10">
        <v>0</v>
      </c>
      <c r="C15" s="10">
        <v>-20960</v>
      </c>
      <c r="D15" s="10">
        <f t="shared" ref="D15:D32" si="0">B15+C15</f>
        <v>-20960</v>
      </c>
      <c r="E15" s="10">
        <v>0</v>
      </c>
      <c r="F15" s="1"/>
    </row>
    <row r="16" spans="1:10">
      <c r="A16" s="10">
        <v>1</v>
      </c>
      <c r="B16" s="10">
        <f>E16</f>
        <v>1024</v>
      </c>
      <c r="C16" s="10">
        <f t="shared" ref="C16:C32" si="1">C15-$E$3</f>
        <v>-29520</v>
      </c>
      <c r="D16" s="10">
        <f t="shared" si="0"/>
        <v>-28496</v>
      </c>
      <c r="E16" s="10">
        <f>10 * 4 * 4 * $I$4</f>
        <v>1024</v>
      </c>
      <c r="F16" s="3" t="s">
        <v>19</v>
      </c>
    </row>
    <row r="17" spans="1:6">
      <c r="A17" s="10">
        <v>2</v>
      </c>
      <c r="B17" s="10">
        <f>B16+ E17</f>
        <v>3072</v>
      </c>
      <c r="C17" s="10">
        <f t="shared" si="1"/>
        <v>-38080</v>
      </c>
      <c r="D17" s="10">
        <f t="shared" si="0"/>
        <v>-35008</v>
      </c>
      <c r="E17" s="10">
        <f>20 * 4 * 4 * $I$4</f>
        <v>2048</v>
      </c>
      <c r="F17" s="1" t="s">
        <v>20</v>
      </c>
    </row>
    <row r="18" spans="1:6">
      <c r="A18" s="10">
        <v>3</v>
      </c>
      <c r="B18" s="10">
        <f t="shared" ref="B18:B32" si="2">B17 + E18</f>
        <v>6912</v>
      </c>
      <c r="C18" s="10">
        <f t="shared" si="1"/>
        <v>-46640</v>
      </c>
      <c r="D18" s="10">
        <f t="shared" si="0"/>
        <v>-39728</v>
      </c>
      <c r="E18" s="10">
        <f>30 * 5 * 4 * $I$4</f>
        <v>3840</v>
      </c>
      <c r="F18" s="1" t="s">
        <v>21</v>
      </c>
    </row>
    <row r="19" spans="1:6">
      <c r="A19" s="10">
        <v>4</v>
      </c>
      <c r="B19" s="10">
        <f t="shared" si="2"/>
        <v>12032</v>
      </c>
      <c r="C19" s="10">
        <f t="shared" si="1"/>
        <v>-55200</v>
      </c>
      <c r="D19" s="10">
        <f t="shared" si="0"/>
        <v>-43168</v>
      </c>
      <c r="E19" s="10">
        <f>40 * 5 * 4 * $I$4</f>
        <v>5120</v>
      </c>
      <c r="F19" s="1" t="s">
        <v>22</v>
      </c>
    </row>
    <row r="20" spans="1:6">
      <c r="A20" s="10">
        <v>5</v>
      </c>
      <c r="B20" s="10">
        <f t="shared" si="2"/>
        <v>18432</v>
      </c>
      <c r="C20" s="10">
        <f t="shared" si="1"/>
        <v>-63760</v>
      </c>
      <c r="D20" s="10">
        <f t="shared" si="0"/>
        <v>-45328</v>
      </c>
      <c r="E20" s="10">
        <f>50 * 5 * 4 * $I$4</f>
        <v>6400</v>
      </c>
      <c r="F20" s="1" t="s">
        <v>23</v>
      </c>
    </row>
    <row r="21" spans="1:6">
      <c r="A21" s="10">
        <v>6</v>
      </c>
      <c r="B21" s="10">
        <f t="shared" si="2"/>
        <v>26112</v>
      </c>
      <c r="C21" s="10">
        <f t="shared" si="1"/>
        <v>-72320</v>
      </c>
      <c r="D21" s="10">
        <f t="shared" si="0"/>
        <v>-46208</v>
      </c>
      <c r="E21" s="10">
        <f>60 * 5 * 4 * $I$4</f>
        <v>7680</v>
      </c>
      <c r="F21" s="1" t="s">
        <v>24</v>
      </c>
    </row>
    <row r="22" spans="1:6">
      <c r="A22" s="10">
        <v>7</v>
      </c>
      <c r="B22" s="10">
        <f t="shared" si="2"/>
        <v>35072</v>
      </c>
      <c r="C22" s="10">
        <f t="shared" si="1"/>
        <v>-80880</v>
      </c>
      <c r="D22" s="10">
        <f t="shared" si="0"/>
        <v>-45808</v>
      </c>
      <c r="E22" s="10">
        <f>70 * 5 * 4 * $I$4</f>
        <v>8960</v>
      </c>
      <c r="F22" s="1" t="s">
        <v>25</v>
      </c>
    </row>
    <row r="23" spans="1:6">
      <c r="A23" s="10">
        <v>8</v>
      </c>
      <c r="B23" s="10">
        <f t="shared" si="2"/>
        <v>45312</v>
      </c>
      <c r="C23" s="10">
        <f t="shared" si="1"/>
        <v>-89440</v>
      </c>
      <c r="D23" s="10">
        <f t="shared" si="0"/>
        <v>-44128</v>
      </c>
      <c r="E23" s="10">
        <f>80 * 5 * 4 * $I$4</f>
        <v>10240</v>
      </c>
      <c r="F23" s="1" t="s">
        <v>26</v>
      </c>
    </row>
    <row r="24" spans="1:6">
      <c r="A24" s="10">
        <v>9</v>
      </c>
      <c r="B24" s="10">
        <f t="shared" si="2"/>
        <v>56832</v>
      </c>
      <c r="C24" s="10">
        <f t="shared" si="1"/>
        <v>-98000</v>
      </c>
      <c r="D24" s="10">
        <f t="shared" si="0"/>
        <v>-41168</v>
      </c>
      <c r="E24" s="10">
        <f>90 * 5 * 4 * $I$4</f>
        <v>11520</v>
      </c>
      <c r="F24" s="1" t="s">
        <v>27</v>
      </c>
    </row>
    <row r="25" spans="1:6">
      <c r="A25" s="10">
        <v>10</v>
      </c>
      <c r="B25" s="10">
        <f t="shared" si="2"/>
        <v>70712</v>
      </c>
      <c r="C25" s="10">
        <f t="shared" si="1"/>
        <v>-106560</v>
      </c>
      <c r="D25" s="10">
        <f t="shared" si="0"/>
        <v>-35848</v>
      </c>
      <c r="E25" s="10">
        <f t="shared" ref="E25:E32" si="3">100 * 5 * 4 * $I$4 + 3 * 4 * 3 * $I$6</f>
        <v>13880</v>
      </c>
      <c r="F25" s="1" t="s">
        <v>28</v>
      </c>
    </row>
    <row r="26" spans="1:6">
      <c r="A26" s="10">
        <v>11</v>
      </c>
      <c r="B26" s="10">
        <f t="shared" si="2"/>
        <v>84592</v>
      </c>
      <c r="C26" s="10">
        <f t="shared" si="1"/>
        <v>-115120</v>
      </c>
      <c r="D26" s="10">
        <f t="shared" si="0"/>
        <v>-30528</v>
      </c>
      <c r="E26" s="10">
        <f t="shared" si="3"/>
        <v>13880</v>
      </c>
      <c r="F26" s="1" t="s">
        <v>28</v>
      </c>
    </row>
    <row r="27" spans="1:6">
      <c r="A27" s="10">
        <v>12</v>
      </c>
      <c r="B27" s="10">
        <f t="shared" si="2"/>
        <v>98472</v>
      </c>
      <c r="C27" s="10">
        <f t="shared" si="1"/>
        <v>-123680</v>
      </c>
      <c r="D27" s="10">
        <f t="shared" si="0"/>
        <v>-25208</v>
      </c>
      <c r="E27" s="10">
        <f t="shared" si="3"/>
        <v>13880</v>
      </c>
      <c r="F27" s="1" t="s">
        <v>28</v>
      </c>
    </row>
    <row r="28" spans="1:6">
      <c r="A28" s="10">
        <v>13</v>
      </c>
      <c r="B28" s="10">
        <f t="shared" si="2"/>
        <v>112352</v>
      </c>
      <c r="C28" s="10">
        <f t="shared" si="1"/>
        <v>-132240</v>
      </c>
      <c r="D28" s="10">
        <f t="shared" si="0"/>
        <v>-19888</v>
      </c>
      <c r="E28" s="10">
        <f t="shared" si="3"/>
        <v>13880</v>
      </c>
      <c r="F28" s="1" t="s">
        <v>28</v>
      </c>
    </row>
    <row r="29" spans="1:6">
      <c r="A29" s="10">
        <v>14</v>
      </c>
      <c r="B29" s="10">
        <f t="shared" si="2"/>
        <v>126232</v>
      </c>
      <c r="C29" s="10">
        <f t="shared" si="1"/>
        <v>-140800</v>
      </c>
      <c r="D29" s="10">
        <f t="shared" si="0"/>
        <v>-14568</v>
      </c>
      <c r="E29" s="10">
        <f t="shared" si="3"/>
        <v>13880</v>
      </c>
      <c r="F29" s="1" t="s">
        <v>28</v>
      </c>
    </row>
    <row r="30" spans="1:6">
      <c r="A30" s="10">
        <v>15</v>
      </c>
      <c r="B30" s="10">
        <f t="shared" si="2"/>
        <v>140112</v>
      </c>
      <c r="C30" s="10">
        <f t="shared" si="1"/>
        <v>-149360</v>
      </c>
      <c r="D30" s="10">
        <f t="shared" si="0"/>
        <v>-9248</v>
      </c>
      <c r="E30" s="10">
        <f t="shared" si="3"/>
        <v>13880</v>
      </c>
      <c r="F30" s="1" t="s">
        <v>28</v>
      </c>
    </row>
    <row r="31" spans="1:6">
      <c r="A31" s="10">
        <v>16</v>
      </c>
      <c r="B31" s="10">
        <f t="shared" si="2"/>
        <v>153992</v>
      </c>
      <c r="C31" s="10">
        <f t="shared" si="1"/>
        <v>-157920</v>
      </c>
      <c r="D31" s="10">
        <f t="shared" si="0"/>
        <v>-3928</v>
      </c>
      <c r="E31" s="10">
        <f t="shared" si="3"/>
        <v>13880</v>
      </c>
      <c r="F31" s="1" t="s">
        <v>28</v>
      </c>
    </row>
    <row r="32" spans="1:6">
      <c r="A32" s="15">
        <v>17</v>
      </c>
      <c r="B32" s="10">
        <f t="shared" si="2"/>
        <v>167872</v>
      </c>
      <c r="C32" s="10">
        <f t="shared" si="1"/>
        <v>-166480</v>
      </c>
      <c r="D32" s="15">
        <f t="shared" si="0"/>
        <v>1392</v>
      </c>
      <c r="E32" s="10">
        <f t="shared" si="3"/>
        <v>13880</v>
      </c>
      <c r="F32" s="1" t="s">
        <v>28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показатели</vt:lpstr>
      <vt:lpstr>расчётные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2022-11-24T21:08:41Z</dcterms:modified>
</cp:coreProperties>
</file>